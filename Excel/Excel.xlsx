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ubham\Desktop\DATA ANALYTICS\"/>
    </mc:Choice>
  </mc:AlternateContent>
  <xr:revisionPtr revIDLastSave="0" documentId="13_ncr:1_{E57CE2AD-0D38-4D18-A3C8-76EA78B781EB}" xr6:coauthVersionLast="47" xr6:coauthVersionMax="47" xr10:uidLastSave="{00000000-0000-0000-0000-000000000000}"/>
  <bookViews>
    <workbookView xWindow="-108" yWindow="-108" windowWidth="23256" windowHeight="12456" activeTab="1" xr2:uid="{B9BF7F8C-FB77-47A8-AADB-B3F864D18D61}"/>
  </bookViews>
  <sheets>
    <sheet name="Empoyee Database" sheetId="1" r:id="rId1"/>
    <sheet name="Charts" sheetId="3" r:id="rId2"/>
    <sheet name="Rough" sheetId="2" r:id="rId3"/>
  </sheets>
  <definedNames>
    <definedName name="_xlnm._FilterDatabase" localSheetId="0" hidden="1">'Empoyee Database'!$A$2:$J$7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1" l="1"/>
  <c r="J4" i="1"/>
  <c r="J7" i="1"/>
  <c r="J3" i="1"/>
  <c r="J6" i="1"/>
  <c r="I6" i="1"/>
  <c r="I5" i="1"/>
  <c r="I4" i="1"/>
  <c r="I7" i="1"/>
  <c r="I3" i="1"/>
  <c r="H5" i="1"/>
  <c r="H4" i="1"/>
  <c r="H7" i="1"/>
  <c r="H3" i="1"/>
  <c r="H6" i="1"/>
</calcChain>
</file>

<file path=xl/sharedStrings.xml><?xml version="1.0" encoding="utf-8"?>
<sst xmlns="http://schemas.openxmlformats.org/spreadsheetml/2006/main" count="76" uniqueCount="56">
  <si>
    <t>S NO</t>
  </si>
  <si>
    <t>FIRST NAME</t>
  </si>
  <si>
    <t>LAST NAME</t>
  </si>
  <si>
    <t>DOJ</t>
  </si>
  <si>
    <t>Sal-Jan</t>
  </si>
  <si>
    <t>Sal-Feb</t>
  </si>
  <si>
    <t>Sal-Mar</t>
  </si>
  <si>
    <t>Sal Total</t>
  </si>
  <si>
    <t>Avg Sal</t>
  </si>
  <si>
    <t>Full Name</t>
  </si>
  <si>
    <t>Aarav</t>
  </si>
  <si>
    <t>Sharma</t>
  </si>
  <si>
    <t>Isha</t>
  </si>
  <si>
    <t>Verma</t>
  </si>
  <si>
    <t>Rohan</t>
  </si>
  <si>
    <t>Patel</t>
  </si>
  <si>
    <t>Neha</t>
  </si>
  <si>
    <t>Kapoor</t>
  </si>
  <si>
    <t>Arjun</t>
  </si>
  <si>
    <t>Mehta</t>
  </si>
  <si>
    <t>Employee Salary Description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</si>
  <si>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</si>
  <si>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</si>
  <si>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</si>
  <si>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</si>
  <si>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</si>
  <si>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</si>
  <si>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</si>
  <si>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</si>
  <si>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</si>
  <si>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</si>
  <si>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</si>
  <si>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</si>
  <si>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</si>
  <si>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</si>
  <si>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</si>
  <si>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</si>
  <si>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</si>
  <si>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</si>
  <si>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</si>
  <si>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</si>
  <si>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</si>
  <si>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</si>
  <si>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</si>
  <si>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mon</t>
  </si>
  <si>
    <t>tue</t>
  </si>
  <si>
    <t>wed</t>
  </si>
  <si>
    <t>thu</t>
  </si>
  <si>
    <t>fri</t>
  </si>
  <si>
    <t>sat</t>
  </si>
  <si>
    <t>sun</t>
  </si>
  <si>
    <t>Avg Salary = Best source</t>
  </si>
  <si>
    <t>Grade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</si>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</sst>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" fontId="0" fillId="0" borderId="0" xfId="0" applyNumberFormat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14" fontId="0" fillId="3" borderId="1" xfId="0" applyNumberFormat="1" applyFill="1" applyBorder="1" applyAlignment="1">
      <alignment horizontal="center"/>
    </xf>
    <xf numFmtId="1" fontId="0" fillId="3" borderId="1" xfId="0" applyNumberFormat="1" applyFill="1" applyBorder="1"/>
    <xf numFmtId="0" fontId="0" fillId="3" borderId="2" xfId="0" applyFill="1" applyBorder="1" applyAlignment="1">
      <alignment horizontal="center"/>
    </xf>
    <xf numFmtId="0" fontId="0" fillId="3" borderId="3" xfId="0" applyFill="1" applyBorder="1"/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/>
    <xf numFmtId="14" fontId="1" fillId="2" borderId="5" xfId="0" applyNumberFormat="1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/>
    <xf numFmtId="0" fontId="0" fillId="3" borderId="7" xfId="0" applyFill="1" applyBorder="1" applyAlignment="1">
      <alignment horizontal="center"/>
    </xf>
    <xf numFmtId="0" fontId="0" fillId="3" borderId="8" xfId="0" applyFill="1" applyBorder="1"/>
    <xf numFmtId="14" fontId="0" fillId="3" borderId="8" xfId="0" applyNumberForma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1" fontId="0" fillId="3" borderId="8" xfId="0" applyNumberFormat="1" applyFill="1" applyBorder="1"/>
    <xf numFmtId="0" fontId="0" fillId="3" borderId="9" xfId="0" applyFill="1" applyBorder="1"/>
    <xf numFmtId="0" fontId="2" fillId="4" borderId="0" xfId="0" applyFont="1" applyFill="1" applyAlignment="1">
      <alignment horizontal="center"/>
    </xf>
    <xf numFmtId="1" fontId="4" fillId="2" borderId="5" xfId="1" applyNumberFormat="1" applyFill="1" applyBorder="1"/>
    <xf numFmtId="0" fontId="1" fillId="2" borderId="1" xfId="0" applyFont="1" applyFill="1" applyBorder="1"/>
    <xf numFmtId="0" fontId="0" fillId="3" borderId="1" xfId="0" applyFont="1" applyFill="1" applyBorder="1"/>
  </cellXfs>
  <cellStyles count="2">
    <cellStyle name="Hyperlink" xfId="1" builtinId="8"/>
    <cellStyle name="Normal" xfId="0" builtinId="0"/>
  </cellStyles>
  <dxfs count="14"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</a:t>
            </a:r>
            <a:r>
              <a:rPr lang="en-IN" baseline="0"/>
              <a:t> SALARY</a:t>
            </a:r>
            <a:endParaRPr lang="en-IN"/>
          </a:p>
        </c:rich>
      </c:tx>
      <c:layout>
        <c:manualLayout>
          <c:xMode val="edge"/>
          <c:yMode val="edge"/>
          <c:x val="0.39503190553982093"/>
          <c:y val="2.79697239850734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Charts!$B$3</c:f>
              <c:strCache>
                <c:ptCount val="1"/>
                <c:pt idx="0">
                  <c:v>Arjun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Charts!$D$2</c:f>
              <c:strCache>
                <c:ptCount val="1"/>
                <c:pt idx="0">
                  <c:v>Sal Total</c:v>
                </c:pt>
              </c:strCache>
            </c:strRef>
          </c:cat>
          <c:val>
            <c:numRef>
              <c:f>Charts!$D$3</c:f>
              <c:numCache>
                <c:formatCode>General</c:formatCode>
                <c:ptCount val="1"/>
                <c:pt idx="0">
                  <c:v>211500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84-4343-9696-5F75C59B4DE7}"/>
            </c:ext>
          </c:extLst>
        </c:ser>
        <c:ser>
          <c:idx val="1"/>
          <c:order val="1"/>
          <c:tx>
            <c:strRef>
              <c:f>Charts!$B$4</c:f>
              <c:strCache>
                <c:ptCount val="1"/>
                <c:pt idx="0">
                  <c:v>Rohan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Charts!$D$2</c:f>
              <c:strCache>
                <c:ptCount val="1"/>
                <c:pt idx="0">
                  <c:v>Sal Total</c:v>
                </c:pt>
              </c:strCache>
            </c:strRef>
          </c:cat>
          <c:val>
            <c:numRef>
              <c:f>Charts!$D$4</c:f>
              <c:numCache>
                <c:formatCode>General</c:formatCode>
                <c:ptCount val="1"/>
                <c:pt idx="0">
                  <c:v>182500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84-4343-9696-5F75C59B4DE7}"/>
            </c:ext>
          </c:extLst>
        </c:ser>
        <c:ser>
          <c:idx val="2"/>
          <c:order val="2"/>
          <c:tx>
            <c:strRef>
              <c:f>Charts!$B$5</c:f>
              <c:strCache>
                <c:ptCount val="1"/>
                <c:pt idx="0">
                  <c:v>Isha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Charts!$D$2</c:f>
              <c:strCache>
                <c:ptCount val="1"/>
                <c:pt idx="0">
                  <c:v>Sal Total</c:v>
                </c:pt>
              </c:strCache>
            </c:strRef>
          </c:cat>
          <c:val>
            <c:numRef>
              <c:f>Charts!$D$5</c:f>
              <c:numCache>
                <c:formatCode>General</c:formatCode>
                <c:ptCount val="1"/>
                <c:pt idx="0">
                  <c:v>145500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84-4343-9696-5F75C59B4DE7}"/>
            </c:ext>
          </c:extLst>
        </c:ser>
        <c:ser>
          <c:idx val="3"/>
          <c:order val="3"/>
          <c:tx>
            <c:strRef>
              <c:f>Charts!$B$6</c:f>
              <c:strCache>
                <c:ptCount val="1"/>
                <c:pt idx="0">
                  <c:v>Aarav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Charts!$D$2</c:f>
              <c:strCache>
                <c:ptCount val="1"/>
                <c:pt idx="0">
                  <c:v>Sal Total</c:v>
                </c:pt>
              </c:strCache>
            </c:strRef>
          </c:cat>
          <c:val>
            <c:numRef>
              <c:f>Charts!$D$6</c:f>
              <c:numCache>
                <c:formatCode>General</c:formatCode>
                <c:ptCount val="1"/>
                <c:pt idx="0">
                  <c:v>159000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884-4343-9696-5F75C59B4DE7}"/>
            </c:ext>
          </c:extLst>
        </c:ser>
        <c:ser>
          <c:idx val="4"/>
          <c:order val="4"/>
          <c:tx>
            <c:strRef>
              <c:f>Charts!$B$7</c:f>
              <c:strCache>
                <c:ptCount val="1"/>
                <c:pt idx="0">
                  <c:v>Neha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Charts!$D$2</c:f>
              <c:strCache>
                <c:ptCount val="1"/>
                <c:pt idx="0">
                  <c:v>Sal Total</c:v>
                </c:pt>
              </c:strCache>
            </c:strRef>
          </c:cat>
          <c:val>
            <c:numRef>
              <c:f>Charts!$D$7</c:f>
              <c:numCache>
                <c:formatCode>General</c:formatCode>
                <c:ptCount val="1"/>
                <c:pt idx="0">
                  <c:v>136500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884-4343-9696-5F75C59B4D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444127"/>
        <c:axId val="245437407"/>
      </c:barChart>
      <c:catAx>
        <c:axId val="245444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437407"/>
        <c:crosses val="autoZero"/>
        <c:auto val="1"/>
        <c:lblAlgn val="ctr"/>
        <c:lblOffset val="100"/>
        <c:noMultiLvlLbl val="0"/>
      </c:catAx>
      <c:valAx>
        <c:axId val="24543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444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6723</xdr:colOff>
      <xdr:row>1</xdr:row>
      <xdr:rowOff>6722</xdr:rowOff>
    </xdr:from>
    <xdr:to>
      <xdr:col>10</xdr:col>
      <xdr:colOff>596153</xdr:colOff>
      <xdr:row>13</xdr:row>
      <xdr:rowOff>121023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EB6FEF9-701E-1738-FE48-D64D2751FD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8B30AC-7265-416D-A53E-209EDE154875}" name="Table1" displayName="Table1" ref="A2:K7" totalsRowShown="0" headerRowBorderDxfId="13" tableBorderDxfId="12" totalsRowBorderDxfId="11">
  <sortState xmlns:xlrd2="http://schemas.microsoft.com/office/spreadsheetml/2017/richdata2" ref="A3:J7">
    <sortCondition ref="D2:D7"/>
  </sortState>
  <tableColumns count="11">
    <tableColumn id="1" xr3:uid="{CB6E7F8A-DF09-4E44-BFC1-2637B8F5FA13}" name="S NO" dataDxfId="10"/>
    <tableColumn id="2" xr3:uid="{72B798A5-AB89-47F9-BB08-54CEFD35B287}" name="FIRST NAME" dataDxfId="9"/>
    <tableColumn id="3" xr3:uid="{9560E69C-BCF3-405A-8DDB-EAA41D6CEEAF}" name="LAST NAME" dataDxfId="8"/>
    <tableColumn id="4" xr3:uid="{A870328E-B6D2-457E-A851-3A217478B7C9}" name="DOJ" dataDxfId="7"/>
    <tableColumn id="5" xr3:uid="{648BCB07-E026-41AE-9CE5-7C07B29864CC}" name="Sal-Jan" dataDxfId="6"/>
    <tableColumn id="6" xr3:uid="{BB3CFC04-70D9-43C0-B629-69F37C61AE23}" name="Sal-Feb" dataDxfId="5"/>
    <tableColumn id="7" xr3:uid="{DD4B2933-0871-4EAE-84F2-FC1BC1C7911B}" name="Sal-Mar" dataDxfId="4"/>
    <tableColumn id="8" xr3:uid="{C7E9DE8D-A332-4D3F-8A3C-0B4151A59DE5}" name="Sal Total" dataDxfId="3">
      <calculatedColumnFormula>SUM(E3,F3,G3)</calculatedColumnFormula>
    </tableColumn>
    <tableColumn id="9" xr3:uid="{AD6E065C-725E-4D16-B708-79D433FE0763}" name="Avg Sal" dataDxfId="2">
      <calculatedColumnFormula>AVERAGE(E3:G3)</calculatedColumnFormula>
    </tableColumn>
    <tableColumn id="10" xr3:uid="{59447FF7-853C-404D-9622-C659B2F9FA09}" name="Full Name" dataDxfId="1">
      <calculatedColumnFormula>CONCATENATE(B3," ",C3)</calculatedColumnFormula>
    </tableColumn>
    <tableColumn id="11" xr3:uid="{E09619A3-7BC1-4125-AEDD-90643B92501E}" name="Grade" dataDxfId="0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F1939E-94F8-40C3-B8DA-A9ECF979614A}" name="Table2" displayName="Table2" ref="B18:B21" totalsRowShown="0">
  <autoFilter ref="B18:B21" xr:uid="{A8F1939E-94F8-40C3-B8DA-A9ECF979614A}"/>
  <tableColumns count="1">
    <tableColumn id="1" xr3:uid="{65CE85DD-9F4E-4E96-A93E-34660F08DC92}" name="Gra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3C03E-F8D5-49EA-9169-70B0ECE331C7}">
  <dimension ref="A1:K11"/>
  <sheetViews>
    <sheetView zoomScale="170" zoomScaleNormal="170" workbookViewId="0">
      <selection activeCell="H2" sqref="H2:H7"/>
    </sheetView>
  </sheetViews>
  <sheetFormatPr defaultRowHeight="14.4" x14ac:dyDescent="0.3"/>
  <cols>
    <col min="1" max="1" width="5.77734375" style="1" customWidth="1"/>
    <col min="2" max="2" width="12" customWidth="1"/>
    <col min="3" max="3" width="11.5546875" customWidth="1"/>
    <col min="4" max="4" width="10.33203125" style="2" bestFit="1" customWidth="1"/>
    <col min="5" max="7" width="8.77734375" style="1" customWidth="1"/>
    <col min="8" max="8" width="9" customWidth="1"/>
    <col min="9" max="9" width="8.88671875" style="3"/>
    <col min="10" max="10" width="12.21875" bestFit="1" customWidth="1"/>
  </cols>
  <sheetData>
    <row r="1" spans="1:11" ht="21" x14ac:dyDescent="0.4">
      <c r="A1" s="21" t="s">
        <v>20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x14ac:dyDescent="0.3">
      <c r="A2" s="10" t="s">
        <v>0</v>
      </c>
      <c r="B2" s="11" t="s">
        <v>1</v>
      </c>
      <c r="C2" s="11" t="s">
        <v>2</v>
      </c>
      <c r="D2" s="12" t="s">
        <v>3</v>
      </c>
      <c r="E2" s="13" t="s">
        <v>4</v>
      </c>
      <c r="F2" s="13" t="s">
        <v>5</v>
      </c>
      <c r="G2" s="13" t="s">
        <v>6</v>
      </c>
      <c r="H2" s="11" t="s">
        <v>7</v>
      </c>
      <c r="I2" s="22" t="s">
        <v>8</v>
      </c>
      <c r="J2" s="14" t="s">
        <v>9</v>
      </c>
      <c r="K2" s="11" t="s">
        <v>52</v>
      </c>
    </row>
    <row r="3" spans="1:11" x14ac:dyDescent="0.3">
      <c r="A3" s="8">
        <v>1</v>
      </c>
      <c r="B3" s="5" t="s">
        <v>18</v>
      </c>
      <c r="C3" s="5" t="s">
        <v>19</v>
      </c>
      <c r="D3" s="6">
        <v>44041</v>
      </c>
      <c r="E3" s="4">
        <v>70000</v>
      </c>
      <c r="F3" s="4">
        <v>70500</v>
      </c>
      <c r="G3" s="4">
        <v>71000</v>
      </c>
      <c r="H3" s="5">
        <f>SUM(E3,F3,G3)</f>
        <v>211500</v>
      </c>
      <c r="I3" s="7">
        <f>AVERAGE(E3:G3)</f>
        <v>70500</v>
      </c>
      <c r="J3" s="9" t="str">
        <f>CONCATENATE(B3," ",C3)</f>
        <v>Arjun Mehta</v>
      </c>
      <c r="K3" s="5" t="s">
        <v>54</v>
      </c>
    </row>
    <row r="4" spans="1:11" x14ac:dyDescent="0.3">
      <c r="A4" s="8">
        <v>2</v>
      </c>
      <c r="B4" s="5" t="s">
        <v>14</v>
      </c>
      <c r="C4" s="5" t="s">
        <v>15</v>
      </c>
      <c r="D4" s="6">
        <v>44258</v>
      </c>
      <c r="E4" s="4">
        <v>60000</v>
      </c>
      <c r="F4" s="4">
        <v>61000</v>
      </c>
      <c r="G4" s="4">
        <v>61500</v>
      </c>
      <c r="H4" s="5">
        <f>SUM(E4,F4,G4)</f>
        <v>182500</v>
      </c>
      <c r="I4" s="7">
        <f>AVERAGE(E4:G4)</f>
        <v>60833.333333333336</v>
      </c>
      <c r="J4" s="9" t="str">
        <f>CONCATENATE(B4," ",C4)</f>
        <v>Rohan Patel</v>
      </c>
      <c r="K4" s="5" t="s">
        <v>55</v>
      </c>
    </row>
    <row r="5" spans="1:11" x14ac:dyDescent="0.3">
      <c r="A5" s="8">
        <v>4</v>
      </c>
      <c r="B5" s="5" t="s">
        <v>12</v>
      </c>
      <c r="C5" s="5" t="s">
        <v>13</v>
      </c>
      <c r="D5" s="6">
        <v>44617</v>
      </c>
      <c r="E5" s="4">
        <v>48000</v>
      </c>
      <c r="F5" s="4">
        <v>48500</v>
      </c>
      <c r="G5" s="4">
        <v>49000</v>
      </c>
      <c r="H5" s="5">
        <f>SUM(E5,F5,G5)</f>
        <v>145500</v>
      </c>
      <c r="I5" s="7">
        <f>AVERAGE(E5:G5)</f>
        <v>48500</v>
      </c>
      <c r="J5" s="9" t="str">
        <f>CONCATENATE(B5," ",C5)</f>
        <v>Isha Verma</v>
      </c>
      <c r="K5" s="5" t="s">
        <v>54</v>
      </c>
    </row>
    <row r="6" spans="1:11" x14ac:dyDescent="0.3">
      <c r="A6" s="8">
        <v>3</v>
      </c>
      <c r="B6" s="5" t="s">
        <v>10</v>
      </c>
      <c r="C6" s="5" t="s">
        <v>11</v>
      </c>
      <c r="D6" s="6">
        <v>44938</v>
      </c>
      <c r="E6" s="4">
        <v>52000</v>
      </c>
      <c r="F6" s="4">
        <v>53000</v>
      </c>
      <c r="G6" s="4">
        <v>54000</v>
      </c>
      <c r="H6" s="5">
        <f>SUM(E6,F6,G6)</f>
        <v>159000</v>
      </c>
      <c r="I6" s="7">
        <f>AVERAGE(E6:G6)</f>
        <v>53000</v>
      </c>
      <c r="J6" s="9" t="str">
        <f>CONCATENATE(B6," ",C6)</f>
        <v>Aarav Sharma</v>
      </c>
      <c r="K6" s="5" t="s">
        <v>53</v>
      </c>
    </row>
    <row r="7" spans="1:11" x14ac:dyDescent="0.3">
      <c r="A7" s="15">
        <v>5</v>
      </c>
      <c r="B7" s="16" t="s">
        <v>16</v>
      </c>
      <c r="C7" s="16" t="s">
        <v>17</v>
      </c>
      <c r="D7" s="17">
        <v>45247</v>
      </c>
      <c r="E7" s="18">
        <v>45000</v>
      </c>
      <c r="F7" s="18">
        <v>45500</v>
      </c>
      <c r="G7" s="18">
        <v>46000</v>
      </c>
      <c r="H7" s="16">
        <f>SUM(E7,F7,G7)</f>
        <v>136500</v>
      </c>
      <c r="I7" s="19">
        <f>AVERAGE(E7:G7)</f>
        <v>45500</v>
      </c>
      <c r="J7" s="20" t="str">
        <f>CONCATENATE(B7," ",C7)</f>
        <v>Neha Kapoor</v>
      </c>
      <c r="K7" s="16" t="s">
        <v>53</v>
      </c>
    </row>
    <row r="9" spans="1:11" x14ac:dyDescent="0.3">
      <c r="A9"/>
      <c r="D9"/>
      <c r="E9"/>
      <c r="F9"/>
      <c r="G9"/>
      <c r="I9"/>
    </row>
    <row r="10" spans="1:11" x14ac:dyDescent="0.3">
      <c r="A10"/>
      <c r="D10"/>
      <c r="E10"/>
      <c r="F10"/>
      <c r="G10"/>
      <c r="I10"/>
    </row>
    <row r="11" spans="1:11" x14ac:dyDescent="0.3">
      <c r="A11"/>
      <c r="D11"/>
      <c r="E11"/>
      <c r="F11"/>
      <c r="G11"/>
      <c r="I11"/>
    </row>
  </sheetData>
  <mergeCells count="1">
    <mergeCell ref="A1:K1"/>
  </mergeCells>
  <conditionalFormatting sqref="I2:I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I2" location="Sheet2!B16" display="Avg Sal" xr:uid="{1051A3BB-DED8-4010-9ECD-9AF39B13CBFC}"/>
  </hyperlinks>
  <pageMargins left="0.7" right="0.7" top="0.75" bottom="0.75" header="0.3" footer="0.3"/>
  <ignoredErrors>
    <ignoredError sqref="K2:K7" listDataValidation="1"/>
  </ignoredErrors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39AAA86-5B2B-4086-8450-6C9BE6F63CB4}">
          <x14:formula1>
            <xm:f>Rough!$B$19:$B$21</xm:f>
          </x14:formula1>
          <xm:sqref>K2:K7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56CFB-B1C9-42FD-8715-97D92E54C195}">
  <dimension ref="B2:D7"/>
  <sheetViews>
    <sheetView tabSelected="1" zoomScale="95" zoomScaleNormal="140" workbookViewId="0">
      <selection activeCell="I1" sqref="I1"/>
    </sheetView>
  </sheetViews>
  <sheetFormatPr defaultRowHeight="14.4" x14ac:dyDescent="0.3"/>
  <cols>
    <col min="2" max="2" width="11.33203125" bestFit="1" customWidth="1"/>
  </cols>
  <sheetData>
    <row r="2" spans="2:4" x14ac:dyDescent="0.3">
      <c r="B2" s="23" t="s">
        <v>1</v>
      </c>
      <c r="C2" s="23" t="s">
        <v>52</v>
      </c>
      <c r="D2" s="23" t="s">
        <v>7</v>
      </c>
    </row>
    <row r="3" spans="2:4" x14ac:dyDescent="0.3">
      <c r="B3" s="24" t="s">
        <v>18</v>
      </c>
      <c r="C3" s="24" t="s">
        <v>54</v>
      </c>
      <c r="D3" s="24">
        <v>211500</v>
      </c>
    </row>
    <row r="4" spans="2:4" x14ac:dyDescent="0.3">
      <c r="B4" s="24" t="s">
        <v>14</v>
      </c>
      <c r="C4" s="24" t="s">
        <v>55</v>
      </c>
      <c r="D4" s="24">
        <v>182500</v>
      </c>
    </row>
    <row r="5" spans="2:4" x14ac:dyDescent="0.3">
      <c r="B5" s="24" t="s">
        <v>12</v>
      </c>
      <c r="C5" s="24" t="s">
        <v>54</v>
      </c>
      <c r="D5" s="24">
        <v>145500</v>
      </c>
    </row>
    <row r="6" spans="2:4" x14ac:dyDescent="0.3">
      <c r="B6" s="24" t="s">
        <v>10</v>
      </c>
      <c r="C6" s="24" t="s">
        <v>53</v>
      </c>
      <c r="D6" s="24">
        <v>159000</v>
      </c>
    </row>
    <row r="7" spans="2:4" x14ac:dyDescent="0.3">
      <c r="B7" s="24" t="s">
        <v>16</v>
      </c>
      <c r="C7" s="24" t="s">
        <v>53</v>
      </c>
      <c r="D7" s="24">
        <v>136500</v>
      </c>
    </row>
  </sheetData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A381EFA-E69C-45E9-9777-DF82D416B6FC}">
          <x14:formula1>
            <xm:f>Rough!$B$19:$B$21</xm:f>
          </x14:formula1>
          <xm:sqref>C2:C7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A2F64-F0E5-4CB0-9C6A-6BA69EA0918D}">
  <dimension ref="B2:F21"/>
  <sheetViews>
    <sheetView topLeftCell="A10" zoomScale="160" zoomScaleNormal="160" workbookViewId="0">
      <selection activeCell="F17" sqref="F17"/>
    </sheetView>
  </sheetViews>
  <sheetFormatPr defaultRowHeight="14.4" x14ac:dyDescent="0.3"/>
  <sheetData>
    <row r="2" spans="2:6" x14ac:dyDescent="0.3">
      <c r="B2" t="s">
        <v>21</v>
      </c>
      <c r="C2" t="s">
        <v>33</v>
      </c>
      <c r="D2" t="s">
        <v>44</v>
      </c>
      <c r="E2">
        <v>1</v>
      </c>
      <c r="F2">
        <v>0</v>
      </c>
    </row>
    <row r="3" spans="2:6" x14ac:dyDescent="0.3">
      <c r="B3" t="s">
        <v>22</v>
      </c>
      <c r="C3" t="s">
        <v>34</v>
      </c>
      <c r="D3" t="s">
        <v>45</v>
      </c>
      <c r="E3">
        <v>2</v>
      </c>
      <c r="F3">
        <v>5</v>
      </c>
    </row>
    <row r="4" spans="2:6" x14ac:dyDescent="0.3">
      <c r="B4" t="s">
        <v>23</v>
      </c>
      <c r="C4" t="s">
        <v>35</v>
      </c>
      <c r="D4" t="s">
        <v>46</v>
      </c>
      <c r="E4">
        <v>3</v>
      </c>
      <c r="F4">
        <v>10</v>
      </c>
    </row>
    <row r="5" spans="2:6" x14ac:dyDescent="0.3">
      <c r="B5" t="s">
        <v>24</v>
      </c>
      <c r="C5" t="s">
        <v>36</v>
      </c>
      <c r="D5" t="s">
        <v>47</v>
      </c>
      <c r="E5">
        <v>4</v>
      </c>
      <c r="F5">
        <v>15</v>
      </c>
    </row>
    <row r="6" spans="2:6" x14ac:dyDescent="0.3">
      <c r="B6" t="s">
        <v>25</v>
      </c>
      <c r="C6" t="s">
        <v>25</v>
      </c>
      <c r="D6" t="s">
        <v>48</v>
      </c>
      <c r="E6">
        <v>5</v>
      </c>
      <c r="F6">
        <v>20</v>
      </c>
    </row>
    <row r="7" spans="2:6" x14ac:dyDescent="0.3">
      <c r="B7" t="s">
        <v>26</v>
      </c>
      <c r="C7" t="s">
        <v>37</v>
      </c>
      <c r="D7" t="s">
        <v>49</v>
      </c>
      <c r="E7">
        <v>6</v>
      </c>
      <c r="F7">
        <v>25</v>
      </c>
    </row>
    <row r="8" spans="2:6" x14ac:dyDescent="0.3">
      <c r="B8" t="s">
        <v>27</v>
      </c>
      <c r="C8" t="s">
        <v>38</v>
      </c>
      <c r="D8" t="s">
        <v>50</v>
      </c>
      <c r="E8">
        <v>7</v>
      </c>
      <c r="F8">
        <v>30</v>
      </c>
    </row>
    <row r="9" spans="2:6" x14ac:dyDescent="0.3">
      <c r="B9" t="s">
        <v>28</v>
      </c>
      <c r="C9" t="s">
        <v>39</v>
      </c>
      <c r="E9">
        <v>8</v>
      </c>
      <c r="F9">
        <v>35</v>
      </c>
    </row>
    <row r="10" spans="2:6" x14ac:dyDescent="0.3">
      <c r="B10" t="s">
        <v>29</v>
      </c>
      <c r="C10" t="s">
        <v>40</v>
      </c>
      <c r="E10">
        <v>9</v>
      </c>
      <c r="F10">
        <v>40</v>
      </c>
    </row>
    <row r="11" spans="2:6" x14ac:dyDescent="0.3">
      <c r="B11" t="s">
        <v>30</v>
      </c>
      <c r="C11" t="s">
        <v>41</v>
      </c>
      <c r="E11">
        <v>10</v>
      </c>
      <c r="F11">
        <v>45</v>
      </c>
    </row>
    <row r="12" spans="2:6" x14ac:dyDescent="0.3">
      <c r="B12" t="s">
        <v>31</v>
      </c>
      <c r="C12" t="s">
        <v>42</v>
      </c>
      <c r="E12">
        <v>11</v>
      </c>
      <c r="F12">
        <v>50</v>
      </c>
    </row>
    <row r="13" spans="2:6" x14ac:dyDescent="0.3">
      <c r="B13" t="s">
        <v>32</v>
      </c>
      <c r="C13" t="s">
        <v>43</v>
      </c>
      <c r="E13">
        <v>12</v>
      </c>
      <c r="F13">
        <v>55</v>
      </c>
    </row>
    <row r="16" spans="2:6" x14ac:dyDescent="0.3">
      <c r="B16" t="s">
        <v>51</v>
      </c>
    </row>
    <row r="18" spans="2:2" x14ac:dyDescent="0.3">
      <c r="B18" t="s">
        <v>52</v>
      </c>
    </row>
    <row r="19" spans="2:2" x14ac:dyDescent="0.3">
      <c r="B19" t="s">
        <v>53</v>
      </c>
    </row>
    <row r="20" spans="2:2" x14ac:dyDescent="0.3">
      <c r="B20" t="s">
        <v>54</v>
      </c>
    </row>
    <row r="21" spans="2:2" x14ac:dyDescent="0.3">
      <c r="B21" t="s">
        <v>55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Empoyee Database</vt:lpstr>
      <vt:lpstr>Charts</vt:lpstr>
      <vt:lpstr>Rough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shubhampochhali@gmail.com</dc:creator>
  <cp:lastModifiedBy>shubhampochhali@gmail.com</cp:lastModifiedBy>
  <dcterms:created xsi:type="dcterms:W3CDTF">2025-10-12T08:14:13Z</dcterms:created>
  <dcterms:modified xsi:type="dcterms:W3CDTF">2025-10-14T20:16:25Z</dcterms:modified>
</cp:coreProperties>
</file>